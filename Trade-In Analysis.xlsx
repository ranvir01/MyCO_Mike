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lor Javelli\OneDrive\Desktop\"/>
    </mc:Choice>
  </mc:AlternateContent>
  <xr:revisionPtr revIDLastSave="0" documentId="13_ncr:1_{3EE307F1-F190-4B33-BF03-A607BD137489}" xr6:coauthVersionLast="47" xr6:coauthVersionMax="47" xr10:uidLastSave="{00000000-0000-0000-0000-000000000000}"/>
  <bookViews>
    <workbookView xWindow="-105" yWindow="0" windowWidth="19410" windowHeight="20985" activeTab="1" xr2:uid="{0421A409-B46F-4B64-BDC6-AE6754DA23B1}"/>
  </bookViews>
  <sheets>
    <sheet name="iPhone" sheetId="1" r:id="rId1"/>
    <sheet name="R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2" l="1"/>
  <c r="E43" i="2"/>
  <c r="E40" i="2"/>
  <c r="C49" i="2"/>
  <c r="C48" i="2"/>
  <c r="C46" i="2"/>
  <c r="C45" i="2"/>
  <c r="C43" i="2"/>
  <c r="C42" i="2"/>
  <c r="C40" i="2"/>
  <c r="C39" i="2"/>
  <c r="B49" i="2"/>
  <c r="B48" i="2"/>
  <c r="B46" i="2"/>
  <c r="B45" i="2"/>
  <c r="B43" i="2"/>
  <c r="B42" i="2"/>
  <c r="A48" i="2"/>
  <c r="A45" i="2"/>
  <c r="A42" i="2"/>
  <c r="A39" i="2"/>
  <c r="E31" i="2"/>
  <c r="E28" i="2"/>
  <c r="E25" i="2"/>
  <c r="E34" i="2"/>
  <c r="C34" i="2"/>
  <c r="C33" i="2"/>
  <c r="C31" i="2"/>
  <c r="C30" i="2"/>
  <c r="C28" i="2"/>
  <c r="C27" i="2"/>
  <c r="C25" i="2"/>
  <c r="C24" i="2"/>
  <c r="E19" i="2"/>
  <c r="E16" i="2"/>
  <c r="C15" i="2"/>
  <c r="C16" i="2" s="1"/>
  <c r="C18" i="2" s="1"/>
  <c r="C19" i="2" s="1"/>
  <c r="E7" i="2"/>
  <c r="C7" i="2"/>
  <c r="E13" i="2"/>
  <c r="E10" i="2"/>
  <c r="E19" i="1"/>
  <c r="A18" i="1"/>
  <c r="A19" i="1"/>
  <c r="E15" i="1"/>
  <c r="E9" i="1"/>
  <c r="E5" i="1"/>
  <c r="C15" i="1"/>
  <c r="C14" i="1"/>
  <c r="A15" i="1"/>
  <c r="C9" i="1"/>
  <c r="C8" i="1"/>
</calcChain>
</file>

<file path=xl/sharedStrings.xml><?xml version="1.0" encoding="utf-8"?>
<sst xmlns="http://schemas.openxmlformats.org/spreadsheetml/2006/main" count="78" uniqueCount="32">
  <si>
    <t>Condition</t>
  </si>
  <si>
    <t xml:space="preserve">Storage </t>
  </si>
  <si>
    <t xml:space="preserve">iPhone </t>
  </si>
  <si>
    <t xml:space="preserve">iPhone 15 Plus </t>
  </si>
  <si>
    <t>Good</t>
  </si>
  <si>
    <t>128 GB</t>
  </si>
  <si>
    <t>Trade-In Value</t>
  </si>
  <si>
    <t>Damaged</t>
  </si>
  <si>
    <t>TMobile</t>
  </si>
  <si>
    <t>AT&amp;T</t>
  </si>
  <si>
    <t xml:space="preserve">Good </t>
  </si>
  <si>
    <t xml:space="preserve">Chipped/Cracked </t>
  </si>
  <si>
    <t xml:space="preserve">Minimum of $45 if phone power button does not work </t>
  </si>
  <si>
    <t>BestBuy</t>
  </si>
  <si>
    <t>Fair</t>
  </si>
  <si>
    <t>Broken</t>
  </si>
  <si>
    <t>Average Trade-In Value</t>
  </si>
  <si>
    <t>Apple</t>
  </si>
  <si>
    <t>iPhone</t>
  </si>
  <si>
    <t>Storage</t>
  </si>
  <si>
    <t>High-End</t>
  </si>
  <si>
    <t>256 GB</t>
  </si>
  <si>
    <t>Best Buy</t>
  </si>
  <si>
    <t>iPhone 16 Pro Max</t>
  </si>
  <si>
    <t xml:space="preserve">256 GB </t>
  </si>
  <si>
    <t>T-Mobile</t>
  </si>
  <si>
    <t>Verizon</t>
  </si>
  <si>
    <t xml:space="preserve">Mid-Range </t>
  </si>
  <si>
    <t>iPhone 13 Pro Max</t>
  </si>
  <si>
    <t>Low-End</t>
  </si>
  <si>
    <t>64 GB</t>
  </si>
  <si>
    <t>iPhone 8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</si>
</sst>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8" fontId="0" fillId="0" borderId="0" xfId="1" applyNumberFormat="1" applyFont="1"/>
    <xf numFmtId="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A8C1-AC45-44FB-B53F-15A1C9999873}">
  <dimension ref="A1:E28"/>
  <sheetViews>
    <sheetView workbookViewId="0">
      <selection activeCell="B55" sqref="B55"/>
    </sheetView>
  </sheetViews>
  <sheetFormatPr defaultRowHeight="15" x14ac:dyDescent="0.25"/>
  <cols>
    <col min="1" max="1" width="19.85546875" bestFit="1" customWidth="1"/>
    <col min="2" max="2" width="16.7109375" bestFit="1" customWidth="1"/>
    <col min="4" max="4" width="14" bestFit="1" customWidth="1"/>
    <col min="5" max="5" width="21.570312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6</v>
      </c>
      <c r="E1" t="s">
        <v>16</v>
      </c>
    </row>
    <row r="3" spans="1:5" x14ac:dyDescent="0.25">
      <c r="A3" t="s">
        <v>8</v>
      </c>
    </row>
    <row r="4" spans="1:5" x14ac:dyDescent="0.25">
      <c r="A4" t="s">
        <v>3</v>
      </c>
      <c r="B4" t="s">
        <v>4</v>
      </c>
      <c r="C4" t="s">
        <v>5</v>
      </c>
      <c r="D4" s="2">
        <v>235</v>
      </c>
    </row>
    <row r="5" spans="1:5" x14ac:dyDescent="0.25">
      <c r="A5" t="s">
        <v>3</v>
      </c>
      <c r="B5" t="s">
        <v>7</v>
      </c>
      <c r="C5" t="s">
        <v>5</v>
      </c>
      <c r="D5" s="2">
        <v>117.5</v>
      </c>
      <c r="E5" s="2">
        <f>AVERAGE(D4,D5)</f>
        <v>176.25</v>
      </c>
    </row>
    <row r="7" spans="1:5" x14ac:dyDescent="0.25">
      <c r="A7" t="s">
        <v>9</v>
      </c>
    </row>
    <row r="8" spans="1:5" x14ac:dyDescent="0.25">
      <c r="A8" t="s">
        <v>3</v>
      </c>
      <c r="B8" t="s">
        <v>10</v>
      </c>
      <c r="C8" t="str">
        <f>C4</f>
        <v>128 GB</v>
      </c>
      <c r="D8" s="2">
        <v>250</v>
      </c>
    </row>
    <row r="9" spans="1:5" x14ac:dyDescent="0.25">
      <c r="A9" t="s">
        <v>3</v>
      </c>
      <c r="B9" t="s">
        <v>11</v>
      </c>
      <c r="C9" t="str">
        <f>C8</f>
        <v>128 GB</v>
      </c>
      <c r="D9" s="2">
        <v>125</v>
      </c>
      <c r="E9" s="3">
        <f>AVERAGE(D8,D9)</f>
        <v>187.5</v>
      </c>
    </row>
    <row r="10" spans="1:5" x14ac:dyDescent="0.25">
      <c r="A10" s="8" t="s">
        <v>12</v>
      </c>
      <c r="B10" s="8"/>
      <c r="C10" s="8"/>
      <c r="D10" s="8"/>
    </row>
    <row r="12" spans="1:5" x14ac:dyDescent="0.25">
      <c r="A12" t="s">
        <v>13</v>
      </c>
    </row>
    <row r="13" spans="1:5" x14ac:dyDescent="0.25">
      <c r="A13" t="s">
        <v>3</v>
      </c>
      <c r="B13" t="s">
        <v>4</v>
      </c>
      <c r="C13" t="s">
        <v>5</v>
      </c>
      <c r="D13" s="2">
        <v>205</v>
      </c>
    </row>
    <row r="14" spans="1:5" x14ac:dyDescent="0.25">
      <c r="A14" t="s">
        <v>3</v>
      </c>
      <c r="B14" t="s">
        <v>14</v>
      </c>
      <c r="C14" t="str">
        <f>C13</f>
        <v>128 GB</v>
      </c>
      <c r="D14" s="2">
        <v>153.75</v>
      </c>
    </row>
    <row r="15" spans="1:5" x14ac:dyDescent="0.25">
      <c r="A15" s="1" t="str">
        <f>A13</f>
        <v xml:space="preserve">iPhone 15 Plus </v>
      </c>
      <c r="B15" t="s">
        <v>15</v>
      </c>
      <c r="C15" t="str">
        <f>C14</f>
        <v>128 GB</v>
      </c>
      <c r="D15" s="2">
        <v>0</v>
      </c>
      <c r="E15" s="3">
        <f>AVERAGE(D13,D14)</f>
        <v>179.375</v>
      </c>
    </row>
    <row r="17" spans="1:5" x14ac:dyDescent="0.25">
      <c r="A17" t="s">
        <v>17</v>
      </c>
    </row>
    <row r="18" spans="1:5" x14ac:dyDescent="0.25">
      <c r="A18" t="str">
        <f>A13</f>
        <v xml:space="preserve">iPhone 15 Plus </v>
      </c>
      <c r="B18" t="s">
        <v>4</v>
      </c>
      <c r="C18" t="s">
        <v>5</v>
      </c>
      <c r="D18" s="2">
        <v>330</v>
      </c>
    </row>
    <row r="19" spans="1:5" x14ac:dyDescent="0.25">
      <c r="A19" t="str">
        <f>A13</f>
        <v xml:space="preserve">iPhone 15 Plus </v>
      </c>
      <c r="B19" t="s">
        <v>7</v>
      </c>
      <c r="C19" t="s">
        <v>5</v>
      </c>
      <c r="D19" s="2">
        <v>83</v>
      </c>
      <c r="E19" s="3">
        <f>AVERAGE(D18,D19)</f>
        <v>206.5</v>
      </c>
    </row>
    <row r="28" spans="1:5" x14ac:dyDescent="0.25">
      <c r="A28" s="1"/>
    </row>
  </sheetData>
  <mergeCells count="1"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2B95-F6EB-4F2B-9341-C865A8A1CB1C}">
  <dimension ref="A1:E49"/>
  <sheetViews>
    <sheetView tabSelected="1" workbookViewId="0">
      <selection activeCell="C35" sqref="C35"/>
    </sheetView>
  </sheetViews>
  <sheetFormatPr defaultRowHeight="15" x14ac:dyDescent="0.25"/>
  <cols>
    <col min="1" max="1" width="11" bestFit="1" customWidth="1"/>
    <col min="2" max="2" width="9.5703125" bestFit="1" customWidth="1"/>
    <col min="3" max="3" width="7.5703125" bestFit="1" customWidth="1"/>
    <col min="4" max="4" width="14" bestFit="1" customWidth="1"/>
    <col min="5" max="5" width="21.5703125" bestFit="1" customWidth="1"/>
  </cols>
  <sheetData>
    <row r="1" spans="1:5" x14ac:dyDescent="0.25">
      <c r="A1" t="s">
        <v>18</v>
      </c>
      <c r="B1" t="s">
        <v>0</v>
      </c>
      <c r="C1" t="s">
        <v>19</v>
      </c>
      <c r="D1" t="s">
        <v>6</v>
      </c>
      <c r="E1" t="s">
        <v>16</v>
      </c>
    </row>
    <row r="3" spans="1:5" x14ac:dyDescent="0.25">
      <c r="A3" s="4" t="s">
        <v>20</v>
      </c>
    </row>
    <row r="4" spans="1:5" x14ac:dyDescent="0.25">
      <c r="A4" s="9" t="s">
        <v>23</v>
      </c>
      <c r="B4" s="9"/>
      <c r="C4" t="s">
        <v>24</v>
      </c>
    </row>
    <row r="5" spans="1:5" x14ac:dyDescent="0.25">
      <c r="A5" s="5"/>
      <c r="B5" s="5"/>
    </row>
    <row r="6" spans="1:5" x14ac:dyDescent="0.25">
      <c r="A6" t="s">
        <v>26</v>
      </c>
      <c r="B6" t="s">
        <v>4</v>
      </c>
      <c r="C6" t="s">
        <v>21</v>
      </c>
      <c r="D6" s="2">
        <v>525</v>
      </c>
    </row>
    <row r="7" spans="1:5" x14ac:dyDescent="0.25">
      <c r="B7" t="s">
        <v>7</v>
      </c>
      <c r="C7" t="str">
        <f>C6</f>
        <v>256 GB</v>
      </c>
      <c r="D7" s="2">
        <v>262.5</v>
      </c>
      <c r="E7" s="3">
        <f>AVERAGE(D6,D7)</f>
        <v>393.75</v>
      </c>
    </row>
    <row r="8" spans="1:5" x14ac:dyDescent="0.25">
      <c r="D8" s="6"/>
    </row>
    <row r="9" spans="1:5" x14ac:dyDescent="0.25">
      <c r="A9" t="s">
        <v>9</v>
      </c>
      <c r="B9" t="s">
        <v>4</v>
      </c>
      <c r="C9" t="s">
        <v>21</v>
      </c>
      <c r="D9" s="2">
        <v>525</v>
      </c>
    </row>
    <row r="10" spans="1:5" x14ac:dyDescent="0.25">
      <c r="B10" t="s">
        <v>7</v>
      </c>
      <c r="C10" t="s">
        <v>21</v>
      </c>
      <c r="D10" s="2">
        <v>262.5</v>
      </c>
      <c r="E10" s="3">
        <f>AVERAGE(D9:D10)</f>
        <v>393.75</v>
      </c>
    </row>
    <row r="11" spans="1:5" x14ac:dyDescent="0.25">
      <c r="D11" s="2"/>
    </row>
    <row r="12" spans="1:5" x14ac:dyDescent="0.25">
      <c r="A12" t="s">
        <v>22</v>
      </c>
      <c r="B12" t="s">
        <v>4</v>
      </c>
      <c r="C12" t="s">
        <v>21</v>
      </c>
      <c r="D12" s="2">
        <v>375</v>
      </c>
    </row>
    <row r="13" spans="1:5" x14ac:dyDescent="0.25">
      <c r="B13" t="s">
        <v>7</v>
      </c>
      <c r="C13" t="s">
        <v>21</v>
      </c>
      <c r="D13" s="2">
        <v>281.25</v>
      </c>
      <c r="E13" s="3">
        <f>AVERAGE(D12:D13)</f>
        <v>328.125</v>
      </c>
    </row>
    <row r="15" spans="1:5" x14ac:dyDescent="0.25">
      <c r="A15" t="s">
        <v>17</v>
      </c>
      <c r="B15" t="s">
        <v>4</v>
      </c>
      <c r="C15" t="str">
        <f>C13</f>
        <v>256 GB</v>
      </c>
      <c r="D15" s="2">
        <v>670</v>
      </c>
    </row>
    <row r="16" spans="1:5" x14ac:dyDescent="0.25">
      <c r="B16" t="s">
        <v>7</v>
      </c>
      <c r="C16" t="str">
        <f>C15</f>
        <v>256 GB</v>
      </c>
      <c r="D16" s="2">
        <v>168</v>
      </c>
      <c r="E16" s="3">
        <f>AVERAGE(D15:D16)</f>
        <v>419</v>
      </c>
    </row>
    <row r="17" spans="1:5" x14ac:dyDescent="0.25">
      <c r="D17" s="7"/>
    </row>
    <row r="18" spans="1:5" x14ac:dyDescent="0.25">
      <c r="A18" t="s">
        <v>25</v>
      </c>
      <c r="B18" t="s">
        <v>4</v>
      </c>
      <c r="C18" t="str">
        <f>C16</f>
        <v>256 GB</v>
      </c>
      <c r="D18" s="2">
        <v>490</v>
      </c>
    </row>
    <row r="19" spans="1:5" x14ac:dyDescent="0.25">
      <c r="B19" t="s">
        <v>7</v>
      </c>
      <c r="C19" t="str">
        <f>C18</f>
        <v>256 GB</v>
      </c>
      <c r="D19" s="2">
        <v>245</v>
      </c>
      <c r="E19" s="3">
        <f>AVERAGE(D18,D19)</f>
        <v>367.5</v>
      </c>
    </row>
    <row r="21" spans="1:5" x14ac:dyDescent="0.25">
      <c r="A21" s="4" t="s">
        <v>27</v>
      </c>
    </row>
    <row r="22" spans="1:5" x14ac:dyDescent="0.25">
      <c r="A22" s="9" t="s">
        <v>28</v>
      </c>
      <c r="B22" s="9"/>
      <c r="C22" t="s">
        <v>5</v>
      </c>
    </row>
    <row r="24" spans="1:5" x14ac:dyDescent="0.25">
      <c r="A24" t="s">
        <v>9</v>
      </c>
      <c r="B24" t="s">
        <v>4</v>
      </c>
      <c r="C24" t="str">
        <f>C22</f>
        <v>128 GB</v>
      </c>
      <c r="D24" s="2">
        <v>195</v>
      </c>
    </row>
    <row r="25" spans="1:5" x14ac:dyDescent="0.25">
      <c r="B25" t="s">
        <v>7</v>
      </c>
      <c r="C25" t="str">
        <f>C24</f>
        <v>128 GB</v>
      </c>
      <c r="D25" s="2">
        <v>97</v>
      </c>
      <c r="E25" s="3">
        <f>AVERAGE(D24:D25)</f>
        <v>146</v>
      </c>
    </row>
    <row r="26" spans="1:5" x14ac:dyDescent="0.25">
      <c r="D26" s="2"/>
    </row>
    <row r="27" spans="1:5" x14ac:dyDescent="0.25">
      <c r="A27" t="s">
        <v>22</v>
      </c>
      <c r="B27" t="s">
        <v>4</v>
      </c>
      <c r="C27" t="str">
        <f>C25</f>
        <v>128 GB</v>
      </c>
      <c r="D27" s="2">
        <v>140</v>
      </c>
    </row>
    <row r="28" spans="1:5" x14ac:dyDescent="0.25">
      <c r="B28" t="s">
        <v>7</v>
      </c>
      <c r="C28" t="str">
        <f>C27</f>
        <v>128 GB</v>
      </c>
      <c r="D28" s="2">
        <v>105</v>
      </c>
      <c r="E28" s="3">
        <f>AVERAGE(D27:D28)</f>
        <v>122.5</v>
      </c>
    </row>
    <row r="29" spans="1:5" x14ac:dyDescent="0.25">
      <c r="D29" s="2"/>
    </row>
    <row r="30" spans="1:5" x14ac:dyDescent="0.25">
      <c r="A30" t="s">
        <v>17</v>
      </c>
      <c r="B30" t="s">
        <v>4</v>
      </c>
      <c r="C30" t="str">
        <f>C28</f>
        <v>128 GB</v>
      </c>
      <c r="D30" s="2">
        <v>300</v>
      </c>
    </row>
    <row r="31" spans="1:5" x14ac:dyDescent="0.25">
      <c r="B31" t="s">
        <v>7</v>
      </c>
      <c r="C31" t="str">
        <f>C30</f>
        <v>128 GB</v>
      </c>
      <c r="D31" s="2">
        <v>75</v>
      </c>
      <c r="E31" s="3">
        <f>AVERAGE(D30:D31)</f>
        <v>187.5</v>
      </c>
    </row>
    <row r="33" spans="1:5" x14ac:dyDescent="0.25">
      <c r="A33" t="s">
        <v>25</v>
      </c>
      <c r="B33" t="s">
        <v>4</v>
      </c>
      <c r="C33" t="str">
        <f>C31</f>
        <v>128 GB</v>
      </c>
      <c r="D33" s="2">
        <v>185</v>
      </c>
    </row>
    <row r="34" spans="1:5" x14ac:dyDescent="0.25">
      <c r="B34" t="s">
        <v>7</v>
      </c>
      <c r="C34" t="str">
        <f>C33</f>
        <v>128 GB</v>
      </c>
      <c r="D34" s="2">
        <v>92.5</v>
      </c>
      <c r="E34" s="3">
        <f>AVERAGE(D33:D34)</f>
        <v>138.75</v>
      </c>
    </row>
    <row r="36" spans="1:5" x14ac:dyDescent="0.25">
      <c r="A36" s="4" t="s">
        <v>29</v>
      </c>
    </row>
    <row r="37" spans="1:5" x14ac:dyDescent="0.25">
      <c r="A37" s="9" t="s">
        <v>31</v>
      </c>
      <c r="B37" s="9"/>
      <c r="C37" t="s">
        <v>30</v>
      </c>
    </row>
    <row r="39" spans="1:5" x14ac:dyDescent="0.25">
      <c r="A39" t="str">
        <f>A24</f>
        <v>AT&amp;T</v>
      </c>
      <c r="B39" t="s">
        <v>4</v>
      </c>
      <c r="C39" t="str">
        <f>C37</f>
        <v>64 GB</v>
      </c>
      <c r="D39" s="2">
        <v>20</v>
      </c>
    </row>
    <row r="40" spans="1:5" x14ac:dyDescent="0.25">
      <c r="B40" t="s">
        <v>7</v>
      </c>
      <c r="C40" t="str">
        <f>C39</f>
        <v>64 GB</v>
      </c>
      <c r="D40" s="2">
        <v>10</v>
      </c>
      <c r="E40" s="3">
        <f>AVERAGE(D39:D40)</f>
        <v>15</v>
      </c>
    </row>
    <row r="41" spans="1:5" x14ac:dyDescent="0.25">
      <c r="D41" s="2"/>
    </row>
    <row r="42" spans="1:5" x14ac:dyDescent="0.25">
      <c r="A42" t="str">
        <f>A27</f>
        <v>Best Buy</v>
      </c>
      <c r="B42" t="str">
        <f>B39</f>
        <v>Good</v>
      </c>
      <c r="C42" t="str">
        <f>C40</f>
        <v>64 GB</v>
      </c>
      <c r="D42" s="2">
        <v>10</v>
      </c>
    </row>
    <row r="43" spans="1:5" x14ac:dyDescent="0.25">
      <c r="B43" t="str">
        <f>B40</f>
        <v>Damaged</v>
      </c>
      <c r="C43" t="str">
        <f>C42</f>
        <v>64 GB</v>
      </c>
      <c r="D43" s="2">
        <v>7.5</v>
      </c>
      <c r="E43" s="3">
        <f>AVERAGE(D42,D43)</f>
        <v>8.75</v>
      </c>
    </row>
    <row r="44" spans="1:5" x14ac:dyDescent="0.25">
      <c r="D44" s="2"/>
    </row>
    <row r="45" spans="1:5" x14ac:dyDescent="0.25">
      <c r="A45" t="str">
        <f>A30</f>
        <v>Apple</v>
      </c>
      <c r="B45" t="str">
        <f>B42</f>
        <v>Good</v>
      </c>
      <c r="C45" t="str">
        <f>C43</f>
        <v>64 GB</v>
      </c>
      <c r="D45" s="2">
        <v>50</v>
      </c>
    </row>
    <row r="46" spans="1:5" x14ac:dyDescent="0.25">
      <c r="B46" t="str">
        <f>B43</f>
        <v>Damaged</v>
      </c>
      <c r="C46" t="str">
        <f>C45</f>
        <v>64 GB</v>
      </c>
      <c r="D46" s="2">
        <v>0</v>
      </c>
      <c r="E46" s="2">
        <v>50</v>
      </c>
    </row>
    <row r="47" spans="1:5" x14ac:dyDescent="0.25">
      <c r="D47" s="2"/>
    </row>
    <row r="48" spans="1:5" x14ac:dyDescent="0.25">
      <c r="A48" t="str">
        <f>A33</f>
        <v>T-Mobile</v>
      </c>
      <c r="B48" t="str">
        <f>B45</f>
        <v>Good</v>
      </c>
      <c r="C48" t="str">
        <f>C46</f>
        <v>64 GB</v>
      </c>
      <c r="D48" s="2">
        <v>20</v>
      </c>
    </row>
    <row r="49" spans="2:5" x14ac:dyDescent="0.25">
      <c r="B49" t="str">
        <f>B46</f>
        <v>Damaged</v>
      </c>
      <c r="C49" t="str">
        <f>C48</f>
        <v>64 GB</v>
      </c>
      <c r="D49" s="2">
        <v>10</v>
      </c>
      <c r="E49" s="3">
        <f>AVERAGE(D48:D49)</f>
        <v>15</v>
      </c>
    </row>
  </sheetData>
  <mergeCells count="3">
    <mergeCell ref="A4:B4"/>
    <mergeCell ref="A22:B22"/>
    <mergeCell ref="A37:B3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iPhone</vt:lpstr>
      <vt:lpstr>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Javelli</dc:creator>
  <cp:lastModifiedBy>Taylor Javelli</cp:lastModifiedBy>
  <dcterms:created xsi:type="dcterms:W3CDTF">2025-12-02T01:39:08Z</dcterms:created>
  <dcterms:modified xsi:type="dcterms:W3CDTF">2025-12-03T04:47:41Z</dcterms:modified>
</cp:coreProperties>
</file>